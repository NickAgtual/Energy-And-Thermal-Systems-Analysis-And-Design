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Energy-And-Thermal-Systems-Analysis-And-Design\Final Project\"/>
    </mc:Choice>
  </mc:AlternateContent>
  <xr:revisionPtr revIDLastSave="0" documentId="13_ncr:1_{C5748C2B-4016-4702-B5A6-757BAB951C49}" xr6:coauthVersionLast="47" xr6:coauthVersionMax="47" xr10:uidLastSave="{00000000-0000-0000-0000-000000000000}"/>
  <bookViews>
    <workbookView xWindow="-120" yWindow="-120" windowWidth="29040" windowHeight="15840" activeTab="1" xr2:uid="{2C08D5FF-2B8A-49DC-A325-394FE6EF5868}"/>
  </bookViews>
  <sheets>
    <sheet name="Specific Heat of Air" sheetId="1" r:id="rId1"/>
    <sheet name="Properties of Wat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" l="1"/>
  <c r="D13" i="2" s="1"/>
  <c r="D3" i="2"/>
  <c r="D4" i="2"/>
  <c r="D5" i="2"/>
  <c r="D6" i="2"/>
  <c r="D7" i="2"/>
  <c r="D8" i="2"/>
  <c r="D9" i="2"/>
  <c r="D10" i="2"/>
  <c r="D11" i="2"/>
  <c r="D12" i="2"/>
  <c r="D2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<sst xmlns="http://schemas.openxmlformats.org/spreadsheetml/2006/main" count="6" uniqueCount="6">
  <si>
    <t>Temp K</t>
  </si>
  <si>
    <t>Temp C</t>
  </si>
  <si>
    <t xml:space="preserve">Density (kg/m^3) </t>
  </si>
  <si>
    <t>Dynamic Viscosity (Ns/m^2 )</t>
  </si>
  <si>
    <t>Cp Air (kJ/kgK)</t>
  </si>
  <si>
    <t xml:space="preserve">Kinematic Viscocity (m^2/s)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</si>
</sst>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9"/>
      <color rgb="FF242021"/>
      <name val="Times-Roman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EB9F6-F499-4198-A423-AD4AACAA1A70}">
  <dimension ref="A1:B15"/>
  <sheetViews>
    <sheetView workbookViewId="0">
      <selection activeCell="F10" sqref="F10"/>
    </sheetView>
  </sheetViews>
  <sheetFormatPr defaultRowHeight="15"/>
  <cols>
    <col min="1" max="1" width="9.140625" style="1"/>
    <col min="2" max="2" width="14" style="1" bestFit="1" customWidth="1"/>
    <col min="3" max="16384" width="9.140625" style="1"/>
  </cols>
  <sheetData>
    <row r="1" spans="1:2">
      <c r="A1" s="1" t="s">
        <v>0</v>
      </c>
      <c r="B1" s="1" t="s">
        <v>4</v>
      </c>
    </row>
    <row r="2" spans="1:2">
      <c r="A2" s="1">
        <v>250</v>
      </c>
      <c r="B2" s="1">
        <v>1.0029999999999999</v>
      </c>
    </row>
    <row r="3" spans="1:2">
      <c r="A3" s="1">
        <v>300</v>
      </c>
      <c r="B3" s="1">
        <v>1.0049999999999999</v>
      </c>
    </row>
    <row r="4" spans="1:2">
      <c r="A4" s="1">
        <v>350</v>
      </c>
      <c r="B4" s="1">
        <v>1.008</v>
      </c>
    </row>
    <row r="5" spans="1:2">
      <c r="A5" s="1">
        <v>400</v>
      </c>
      <c r="B5" s="1">
        <v>1.0129999999999999</v>
      </c>
    </row>
    <row r="6" spans="1:2">
      <c r="A6" s="1">
        <v>450</v>
      </c>
      <c r="B6" s="1">
        <v>1.02</v>
      </c>
    </row>
    <row r="7" spans="1:2">
      <c r="A7" s="1">
        <v>500</v>
      </c>
      <c r="B7" s="1">
        <v>1.0289999999999999</v>
      </c>
    </row>
    <row r="8" spans="1:2">
      <c r="A8" s="1">
        <v>550</v>
      </c>
      <c r="B8" s="1">
        <v>1.04</v>
      </c>
    </row>
    <row r="9" spans="1:2">
      <c r="A9" s="1">
        <v>600</v>
      </c>
      <c r="B9" s="1">
        <v>1.0509999999999999</v>
      </c>
    </row>
    <row r="10" spans="1:2">
      <c r="A10" s="1">
        <v>650</v>
      </c>
      <c r="B10" s="1">
        <v>1.0629999999999999</v>
      </c>
    </row>
    <row r="11" spans="1:2">
      <c r="A11" s="1">
        <v>700</v>
      </c>
      <c r="B11" s="1">
        <v>1.075</v>
      </c>
    </row>
    <row r="12" spans="1:2">
      <c r="A12" s="1">
        <v>750</v>
      </c>
      <c r="B12" s="1">
        <v>1.087</v>
      </c>
    </row>
    <row r="13" spans="1:2">
      <c r="A13" s="1">
        <v>800</v>
      </c>
      <c r="B13" s="1">
        <v>1.099</v>
      </c>
    </row>
    <row r="14" spans="1:2">
      <c r="A14" s="1">
        <v>900</v>
      </c>
      <c r="B14" s="1">
        <v>1.121</v>
      </c>
    </row>
    <row r="15" spans="1:2">
      <c r="A15" s="1">
        <v>1000</v>
      </c>
      <c r="B15" s="1">
        <v>1.1419999999999999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61D21-DE4C-4F0B-A8B0-778EF6640439}">
  <dimension ref="A1:D14"/>
  <sheetViews>
    <sheetView tabSelected="1" workbookViewId="0">
      <selection activeCell="A14" sqref="A14"/>
    </sheetView>
  </sheetViews>
  <sheetFormatPr defaultRowHeight="15"/>
  <cols>
    <col min="1" max="1" width="9.140625" style="1"/>
    <col min="2" max="2" width="16.7109375" style="1" bestFit="1" customWidth="1"/>
    <col min="3" max="3" width="26.5703125" style="1" bestFit="1" customWidth="1"/>
    <col min="4" max="4" width="25.7109375" style="1" bestFit="1" customWidth="1"/>
    <col min="5" max="16384" width="9.140625" style="1"/>
  </cols>
  <sheetData>
    <row r="1" spans="1:4">
      <c r="A1" s="1" t="s">
        <v>1</v>
      </c>
      <c r="B1" s="1" t="s">
        <v>2</v>
      </c>
      <c r="C1" s="1" t="s">
        <v>3</v>
      </c>
      <c r="D1" s="1" t="s">
        <v>5</v>
      </c>
    </row>
    <row r="2" spans="1:4">
      <c r="A2" s="2">
        <v>0</v>
      </c>
      <c r="B2" s="1">
        <v>999.9</v>
      </c>
      <c r="C2" s="1">
        <f>1.787*10^-3</f>
        <v>1.787E-3</v>
      </c>
      <c r="D2" s="1">
        <f>C2/B2</f>
        <v>1.7871787178717873E-6</v>
      </c>
    </row>
    <row r="3" spans="1:4">
      <c r="A3" s="2">
        <v>5</v>
      </c>
      <c r="B3" s="1">
        <v>1000</v>
      </c>
      <c r="C3" s="1">
        <f>1.519*10^-3</f>
        <v>1.519E-3</v>
      </c>
      <c r="D3" s="1">
        <f t="shared" ref="D3:D13" si="0">C3/B3</f>
        <v>1.519E-6</v>
      </c>
    </row>
    <row r="4" spans="1:4">
      <c r="A4" s="2">
        <v>10</v>
      </c>
      <c r="B4" s="1">
        <v>999.7</v>
      </c>
      <c r="C4" s="1">
        <f>1.307*10^-3</f>
        <v>1.307E-3</v>
      </c>
      <c r="D4" s="1">
        <f t="shared" si="0"/>
        <v>1.3073922176652995E-6</v>
      </c>
    </row>
    <row r="5" spans="1:4">
      <c r="A5" s="2">
        <v>20</v>
      </c>
      <c r="B5" s="1">
        <v>998.2</v>
      </c>
      <c r="C5" s="1">
        <f>1.002*10^-3</f>
        <v>1.0020000000000001E-3</v>
      </c>
      <c r="D5" s="1">
        <f t="shared" si="0"/>
        <v>1.0038068523342016E-6</v>
      </c>
    </row>
    <row r="6" spans="1:4">
      <c r="A6" s="2">
        <v>30</v>
      </c>
      <c r="B6" s="1">
        <v>995.7</v>
      </c>
      <c r="C6" s="1">
        <f>7.975*10^-4</f>
        <v>7.9750000000000003E-4</v>
      </c>
      <c r="D6" s="1">
        <f t="shared" si="0"/>
        <v>8.0094405945565934E-7</v>
      </c>
    </row>
    <row r="7" spans="1:4">
      <c r="A7" s="2">
        <v>40</v>
      </c>
      <c r="B7" s="1">
        <v>992.2</v>
      </c>
      <c r="C7" s="1">
        <f>6.529*10^-4</f>
        <v>6.5289999999999999E-4</v>
      </c>
      <c r="D7" s="1">
        <f t="shared" si="0"/>
        <v>6.5803265470671227E-7</v>
      </c>
    </row>
    <row r="8" spans="1:4">
      <c r="A8" s="2">
        <v>50</v>
      </c>
      <c r="B8" s="1">
        <v>988.1</v>
      </c>
      <c r="C8" s="1">
        <f>5.468*10^-4</f>
        <v>5.4680000000000006E-4</v>
      </c>
      <c r="D8" s="1">
        <f t="shared" si="0"/>
        <v>5.5338528489019335E-7</v>
      </c>
    </row>
    <row r="9" spans="1:4">
      <c r="A9" s="2">
        <v>60</v>
      </c>
      <c r="B9" s="1">
        <v>983.2</v>
      </c>
      <c r="C9" s="1">
        <f>4.665*10^-4</f>
        <v>4.6650000000000001E-4</v>
      </c>
      <c r="D9" s="1">
        <f t="shared" si="0"/>
        <v>4.7447111472742068E-7</v>
      </c>
    </row>
    <row r="10" spans="1:4">
      <c r="A10" s="2">
        <v>70</v>
      </c>
      <c r="B10" s="1">
        <v>977.8</v>
      </c>
      <c r="C10" s="1">
        <f>4.042*10^-4</f>
        <v>4.0420000000000001E-4</v>
      </c>
      <c r="D10" s="1">
        <f t="shared" si="0"/>
        <v>4.1337696870525676E-7</v>
      </c>
    </row>
    <row r="11" spans="1:4">
      <c r="A11" s="2">
        <v>80</v>
      </c>
      <c r="B11" s="1">
        <v>971.8</v>
      </c>
      <c r="C11" s="1">
        <f>3.547*10^-4</f>
        <v>3.5470000000000006E-4</v>
      </c>
      <c r="D11" s="1">
        <f t="shared" si="0"/>
        <v>3.6499279687178438E-7</v>
      </c>
    </row>
    <row r="12" spans="1:4">
      <c r="A12" s="2">
        <v>90</v>
      </c>
      <c r="B12" s="1">
        <v>965.3</v>
      </c>
      <c r="C12" s="1">
        <f>3.147*10^-4</f>
        <v>3.1470000000000001E-4</v>
      </c>
      <c r="D12" s="1">
        <f t="shared" si="0"/>
        <v>3.2601263855796128E-7</v>
      </c>
    </row>
    <row r="13" spans="1:4">
      <c r="A13" s="2">
        <v>100</v>
      </c>
      <c r="B13" s="1">
        <v>958.4</v>
      </c>
      <c r="C13" s="1">
        <f>2.818*10^-4</f>
        <v>2.8180000000000002E-4</v>
      </c>
      <c r="D13" s="1">
        <f t="shared" si="0"/>
        <v>2.9403171953255427E-7</v>
      </c>
    </row>
    <row r="14" spans="1:4">
      <c r="A1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Specific Heat of Air</vt:lpstr>
      <vt:lpstr>Properties of 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2022-11-09T18:47:10Z</dcterms:created>
  <dcterms:modified xsi:type="dcterms:W3CDTF">2022-11-09T19:19:56Z</dcterms:modified>
</cp:coreProperties>
</file>